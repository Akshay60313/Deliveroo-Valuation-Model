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D\Downloads\"/>
    </mc:Choice>
  </mc:AlternateContent>
  <xr:revisionPtr revIDLastSave="0" documentId="8_{F056E9C7-A7EF-4410-AB73-0B1FA495F3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luation vs Doordash" sheetId="3" r:id="rId1"/>
    <sheet name="Assumption" sheetId="2" r:id="rId2"/>
    <sheet name="Revenue" sheetId="1" r:id="rId3"/>
    <sheet name="Profit and loss Statement" sheetId="5" r:id="rId4"/>
    <sheet name="DCF" sheetId="6" r:id="rId5"/>
    <sheet name="Comparable Analysis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E6" i="3"/>
  <c r="E7" i="3"/>
  <c r="E8" i="3"/>
  <c r="E9" i="3"/>
  <c r="F5" i="3"/>
  <c r="E5" i="3"/>
  <c r="H10" i="5"/>
  <c r="H12" i="5" s="1"/>
  <c r="C9" i="5"/>
  <c r="C10" i="5" s="1"/>
  <c r="B21" i="4"/>
  <c r="B15" i="4"/>
  <c r="B25" i="4"/>
  <c r="D8" i="4"/>
  <c r="D7" i="4"/>
  <c r="C8" i="4"/>
  <c r="C7" i="4"/>
  <c r="B14" i="4"/>
  <c r="B16" i="4" s="1"/>
  <c r="B18" i="4" s="1"/>
  <c r="B18" i="6"/>
  <c r="B19" i="6"/>
  <c r="H9" i="6"/>
  <c r="H7" i="6"/>
  <c r="H21" i="5"/>
  <c r="H15" i="5"/>
  <c r="H11" i="5"/>
  <c r="H6" i="5"/>
  <c r="H5" i="5"/>
  <c r="H21" i="1"/>
  <c r="H19" i="1"/>
  <c r="H16" i="1"/>
  <c r="H15" i="1"/>
  <c r="H13" i="1"/>
  <c r="H12" i="1"/>
  <c r="H11" i="1"/>
  <c r="H17" i="1"/>
  <c r="H14" i="1"/>
  <c r="H10" i="1"/>
  <c r="H9" i="1" s="1"/>
  <c r="H7" i="1"/>
  <c r="D9" i="6"/>
  <c r="E9" i="6"/>
  <c r="F9" i="6"/>
  <c r="G9" i="6" s="1"/>
  <c r="C9" i="6"/>
  <c r="C7" i="6"/>
  <c r="D7" i="6"/>
  <c r="E7" i="6"/>
  <c r="F7" i="6"/>
  <c r="G7" i="6"/>
  <c r="B7" i="6"/>
  <c r="B27" i="5"/>
  <c r="D11" i="5"/>
  <c r="E11" i="5"/>
  <c r="F11" i="5"/>
  <c r="G11" i="5"/>
  <c r="C11" i="5"/>
  <c r="C2" i="6"/>
  <c r="D2" i="6"/>
  <c r="E2" i="6"/>
  <c r="F2" i="6"/>
  <c r="G2" i="6"/>
  <c r="B2" i="6"/>
  <c r="G14" i="1"/>
  <c r="B12" i="5"/>
  <c r="B16" i="5"/>
  <c r="B5" i="5"/>
  <c r="C3" i="5"/>
  <c r="D3" i="5"/>
  <c r="E3" i="5"/>
  <c r="F3" i="5"/>
  <c r="G3" i="5"/>
  <c r="B3" i="5"/>
  <c r="C17" i="1"/>
  <c r="D17" i="1"/>
  <c r="E17" i="1"/>
  <c r="F17" i="1"/>
  <c r="G17" i="1"/>
  <c r="B17" i="1"/>
  <c r="D10" i="1"/>
  <c r="E10" i="1"/>
  <c r="F10" i="1"/>
  <c r="G10" i="1"/>
  <c r="C10" i="1"/>
  <c r="C9" i="1" s="1"/>
  <c r="C11" i="1" s="1"/>
  <c r="C12" i="1" s="1"/>
  <c r="E8" i="1"/>
  <c r="F8" i="1"/>
  <c r="D8" i="1"/>
  <c r="D7" i="1" s="1"/>
  <c r="B13" i="1"/>
  <c r="H17" i="5" l="1"/>
  <c r="H19" i="5" s="1"/>
  <c r="H13" i="5"/>
  <c r="B22" i="5"/>
  <c r="B17" i="5"/>
  <c r="B13" i="5"/>
  <c r="C13" i="1"/>
  <c r="D9" i="1"/>
  <c r="E9" i="1" s="1"/>
  <c r="F9" i="1" s="1"/>
  <c r="G9" i="1" s="1"/>
  <c r="E7" i="1"/>
  <c r="H23" i="5" l="1"/>
  <c r="H3" i="6" s="1"/>
  <c r="H5" i="6" s="1"/>
  <c r="H12" i="6" s="1"/>
  <c r="D13" i="1"/>
  <c r="C15" i="1"/>
  <c r="D10" i="5"/>
  <c r="B19" i="5"/>
  <c r="B23" i="5"/>
  <c r="D11" i="1"/>
  <c r="D12" i="1" s="1"/>
  <c r="F7" i="1"/>
  <c r="E11" i="1"/>
  <c r="H14" i="6" l="1"/>
  <c r="B27" i="6" s="1"/>
  <c r="H25" i="5"/>
  <c r="H26" i="5" s="1"/>
  <c r="H28" i="5" s="1"/>
  <c r="H29" i="5" s="1"/>
  <c r="B25" i="5"/>
  <c r="B28" i="5" s="1"/>
  <c r="B3" i="6"/>
  <c r="B5" i="6" s="1"/>
  <c r="B12" i="6" s="1"/>
  <c r="C16" i="1"/>
  <c r="C19" i="1"/>
  <c r="E13" i="1"/>
  <c r="D15" i="1"/>
  <c r="E10" i="5"/>
  <c r="E12" i="1"/>
  <c r="G7" i="1"/>
  <c r="G11" i="1" s="1"/>
  <c r="F11" i="1"/>
  <c r="F12" i="1" s="1"/>
  <c r="C5" i="5" l="1"/>
  <c r="C21" i="1"/>
  <c r="C6" i="5" s="1"/>
  <c r="F13" i="1"/>
  <c r="E15" i="1"/>
  <c r="D19" i="1"/>
  <c r="D16" i="1"/>
  <c r="F10" i="5"/>
  <c r="G12" i="1"/>
  <c r="C21" i="5" l="1"/>
  <c r="C12" i="5"/>
  <c r="C15" i="5"/>
  <c r="D5" i="5"/>
  <c r="D21" i="1"/>
  <c r="D6" i="5" s="1"/>
  <c r="E19" i="1"/>
  <c r="E16" i="1"/>
  <c r="G13" i="1"/>
  <c r="G15" i="1" s="1"/>
  <c r="F15" i="1"/>
  <c r="G10" i="5"/>
  <c r="E5" i="5" l="1"/>
  <c r="E21" i="1"/>
  <c r="E6" i="5" s="1"/>
  <c r="C13" i="5"/>
  <c r="C17" i="5"/>
  <c r="B24" i="4" s="1"/>
  <c r="B26" i="4" s="1"/>
  <c r="B28" i="4" s="1"/>
  <c r="B30" i="4" s="1"/>
  <c r="D21" i="5"/>
  <c r="D15" i="5"/>
  <c r="D12" i="5"/>
  <c r="F19" i="1"/>
  <c r="F16" i="1"/>
  <c r="G19" i="1"/>
  <c r="G16" i="1"/>
  <c r="C19" i="5" l="1"/>
  <c r="C23" i="5"/>
  <c r="F5" i="5"/>
  <c r="F21" i="1"/>
  <c r="F6" i="5" s="1"/>
  <c r="D13" i="5"/>
  <c r="D17" i="5"/>
  <c r="E21" i="5"/>
  <c r="E15" i="5"/>
  <c r="E12" i="5"/>
  <c r="G21" i="1"/>
  <c r="G6" i="5" s="1"/>
  <c r="G5" i="5"/>
  <c r="D19" i="5" l="1"/>
  <c r="D23" i="5"/>
  <c r="C25" i="5"/>
  <c r="C3" i="6"/>
  <c r="C5" i="6" s="1"/>
  <c r="C12" i="6" s="1"/>
  <c r="G12" i="5"/>
  <c r="E13" i="5"/>
  <c r="E17" i="5"/>
  <c r="G15" i="5"/>
  <c r="G21" i="5"/>
  <c r="F21" i="5"/>
  <c r="F15" i="5"/>
  <c r="F12" i="5"/>
  <c r="C26" i="5" l="1"/>
  <c r="C28" i="5" s="1"/>
  <c r="E19" i="5"/>
  <c r="E23" i="5"/>
  <c r="D25" i="5"/>
  <c r="D3" i="6"/>
  <c r="D5" i="6" s="1"/>
  <c r="D12" i="6" s="1"/>
  <c r="G13" i="5"/>
  <c r="G17" i="5"/>
  <c r="F13" i="5"/>
  <c r="F17" i="5"/>
  <c r="D26" i="5" l="1"/>
  <c r="D28" i="5" s="1"/>
  <c r="F19" i="5"/>
  <c r="F23" i="5"/>
  <c r="E25" i="5"/>
  <c r="E3" i="6"/>
  <c r="E5" i="6" s="1"/>
  <c r="E12" i="6" s="1"/>
  <c r="G19" i="5"/>
  <c r="G23" i="5"/>
  <c r="E26" i="5" l="1"/>
  <c r="E28" i="5" s="1"/>
  <c r="G25" i="5"/>
  <c r="G3" i="6"/>
  <c r="G5" i="6" s="1"/>
  <c r="G12" i="6" s="1"/>
  <c r="F25" i="5"/>
  <c r="F3" i="6"/>
  <c r="F5" i="6" s="1"/>
  <c r="F12" i="6" s="1"/>
  <c r="B26" i="6" l="1"/>
  <c r="B29" i="6" s="1"/>
  <c r="B33" i="6" s="1"/>
  <c r="B36" i="6" s="1"/>
  <c r="H23" i="6" s="1"/>
  <c r="F26" i="5"/>
  <c r="F28" i="5" s="1"/>
  <c r="G26" i="5"/>
  <c r="G28" i="5" s="1"/>
</calcChain>
</file>

<file path=xl/sharedStrings.xml><?xml version="1.0" encoding="utf-8"?>
<sst xmlns="http://schemas.openxmlformats.org/spreadsheetml/2006/main" count="129" uniqueCount="109">
  <si>
    <t>Assumptions for Deliveroo</t>
  </si>
  <si>
    <t>Metrics</t>
  </si>
  <si>
    <t>Input</t>
  </si>
  <si>
    <t>Notes</t>
  </si>
  <si>
    <t>Actual 2024 Reported AOV</t>
  </si>
  <si>
    <t>Take rate</t>
  </si>
  <si>
    <t>Commission+fees Deliveroo takes</t>
  </si>
  <si>
    <t>Shares Outstanding</t>
  </si>
  <si>
    <t>Offer price (Door Dash)</t>
  </si>
  <si>
    <t>Calculated:(Revenue-gross profit)/Orders</t>
  </si>
  <si>
    <t>Cost to acquire new customer</t>
  </si>
  <si>
    <t>(in millions) Fully diluted count</t>
  </si>
  <si>
    <t>Ebitda</t>
  </si>
  <si>
    <t>WACC</t>
  </si>
  <si>
    <t xml:space="preserve">Terminal growth </t>
  </si>
  <si>
    <t>Capex</t>
  </si>
  <si>
    <t>Monthly Active Consumers</t>
  </si>
  <si>
    <t>7.1M</t>
  </si>
  <si>
    <t>GTV Rate</t>
  </si>
  <si>
    <t>(2024-2025)</t>
  </si>
  <si>
    <t>(High Risk)</t>
  </si>
  <si>
    <t>(UK GDP)</t>
  </si>
  <si>
    <t>Particulars</t>
  </si>
  <si>
    <t>2025 E</t>
  </si>
  <si>
    <t>2026 E</t>
  </si>
  <si>
    <t>2027 E</t>
  </si>
  <si>
    <t>2028E</t>
  </si>
  <si>
    <t>Revenue</t>
  </si>
  <si>
    <t>2029 E</t>
  </si>
  <si>
    <t>YOY Growth</t>
  </si>
  <si>
    <t>MAC YoY Growth</t>
  </si>
  <si>
    <t>Order Frequency</t>
  </si>
  <si>
    <t>Total Orders (M)</t>
  </si>
  <si>
    <t>Monthly Active Customer(M)</t>
  </si>
  <si>
    <t>YoY Growth</t>
  </si>
  <si>
    <t>AOV</t>
  </si>
  <si>
    <t>Order Frequency Growth</t>
  </si>
  <si>
    <t>GTv</t>
  </si>
  <si>
    <t>Take Rate</t>
  </si>
  <si>
    <t>Yoy Growth</t>
  </si>
  <si>
    <t>Profit and Loss statement</t>
  </si>
  <si>
    <t>Revenue(m)</t>
  </si>
  <si>
    <t>COGS</t>
  </si>
  <si>
    <t>Gross Profit</t>
  </si>
  <si>
    <t>Gross Margin</t>
  </si>
  <si>
    <t>Marketing &amp; Overhead</t>
  </si>
  <si>
    <t>Ebitda Margin (% Of Revenue)</t>
  </si>
  <si>
    <t>M&amp;O % of Revenue</t>
  </si>
  <si>
    <t>Depriciation &amp; Amortization(M)</t>
  </si>
  <si>
    <t>Ebit</t>
  </si>
  <si>
    <t>PBT</t>
  </si>
  <si>
    <t>Tax</t>
  </si>
  <si>
    <t>PAT</t>
  </si>
  <si>
    <t>Net Finance income(interest)</t>
  </si>
  <si>
    <t>Cost Per Order</t>
  </si>
  <si>
    <t>Total Variable Cost</t>
  </si>
  <si>
    <t>Other Direct Cost</t>
  </si>
  <si>
    <t>EBIT</t>
  </si>
  <si>
    <t>Ebit(1-tax)</t>
  </si>
  <si>
    <t>Add:Depriciation</t>
  </si>
  <si>
    <t>Less:Capex</t>
  </si>
  <si>
    <t>FCF</t>
  </si>
  <si>
    <t>Terminal Value</t>
  </si>
  <si>
    <t>TERMINAL VALUE</t>
  </si>
  <si>
    <t>Method 1:Perpetuity Growth method</t>
  </si>
  <si>
    <t>NPV of Explicit Period</t>
  </si>
  <si>
    <t>NpV of Terminal Period</t>
  </si>
  <si>
    <t>Enterprise Value</t>
  </si>
  <si>
    <t>Add:Cash</t>
  </si>
  <si>
    <t>Equity Value</t>
  </si>
  <si>
    <t>2030 E</t>
  </si>
  <si>
    <t>Less:Debt</t>
  </si>
  <si>
    <t>Share Outstanding</t>
  </si>
  <si>
    <t>A. THE Revenue Method</t>
  </si>
  <si>
    <t>Deliveroo 2025 Revenue</t>
  </si>
  <si>
    <t>Peer Median Multiple</t>
  </si>
  <si>
    <t>Implied Enterprise Value</t>
  </si>
  <si>
    <t>Add: Cash</t>
  </si>
  <si>
    <t>Implied Equity  Value</t>
  </si>
  <si>
    <t>Implied Share Price</t>
  </si>
  <si>
    <t>Value (GBP)</t>
  </si>
  <si>
    <t>B.THE Ebitda Method</t>
  </si>
  <si>
    <t>Deliveroo 2025 Ebitda</t>
  </si>
  <si>
    <t>Implied Equity Value</t>
  </si>
  <si>
    <t>Company</t>
  </si>
  <si>
    <t>Door dash</t>
  </si>
  <si>
    <t>Uber</t>
  </si>
  <si>
    <t>Just Eat</t>
  </si>
  <si>
    <t xml:space="preserve">Average Mean </t>
  </si>
  <si>
    <t>Median</t>
  </si>
  <si>
    <t>Delivery Hero</t>
  </si>
  <si>
    <t>Methodology</t>
  </si>
  <si>
    <t>Min Value</t>
  </si>
  <si>
    <t>Max Value</t>
  </si>
  <si>
    <t>Spacer</t>
  </si>
  <si>
    <t>Bar length</t>
  </si>
  <si>
    <t>52-Week Trading Range</t>
  </si>
  <si>
    <t>Comparable Analysis (Ebitda)</t>
  </si>
  <si>
    <t>Comparable Analysis (Revenue)</t>
  </si>
  <si>
    <t>DCF(Bear case)</t>
  </si>
  <si>
    <t>DCF(Base case)</t>
  </si>
  <si>
    <t>Transaction Price (Doordash)</t>
  </si>
  <si>
    <t>Average Order Value (AOV)(GBP)</t>
  </si>
  <si>
    <t>Rider Cost Per order(GBP)</t>
  </si>
  <si>
    <t>Marketing Cost (CAC)(GBP)</t>
  </si>
  <si>
    <t>Guidance</t>
  </si>
  <si>
    <t>EV/Revenue (2025 E)x</t>
  </si>
  <si>
    <t>Ev/Ebitda (2025 E)x</t>
  </si>
  <si>
    <t>Intrinsic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</si>
</sst>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"/>
    <numFmt numFmtId="175" formatCode="0.0%"/>
    <numFmt numFmtId="177" formatCode="[$£-809]#,##0.00"/>
    <numFmt numFmtId="187" formatCode="[$£-809]#,##0.0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Arial"/>
      <family val="2"/>
    </font>
    <font>
      <sz val="2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0" borderId="0" xfId="0" applyNumberFormat="1"/>
    <xf numFmtId="0" fontId="0" fillId="4" borderId="0" xfId="0" applyFill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10" fontId="4" fillId="0" borderId="0" xfId="0" applyNumberFormat="1" applyFont="1"/>
    <xf numFmtId="9" fontId="4" fillId="0" borderId="0" xfId="0" applyNumberFormat="1" applyFont="1"/>
    <xf numFmtId="1" fontId="0" fillId="4" borderId="0" xfId="0" applyNumberFormat="1" applyFill="1"/>
    <xf numFmtId="0" fontId="3" fillId="5" borderId="0" xfId="0" applyFont="1" applyFill="1"/>
    <xf numFmtId="0" fontId="2" fillId="6" borderId="0" xfId="0" applyFont="1" applyFill="1"/>
    <xf numFmtId="0" fontId="0" fillId="6" borderId="0" xfId="0" applyFill="1"/>
    <xf numFmtId="166" fontId="0" fillId="6" borderId="0" xfId="0" applyNumberFormat="1" applyFill="1"/>
    <xf numFmtId="1" fontId="0" fillId="6" borderId="0" xfId="0" applyNumberFormat="1" applyFill="1"/>
    <xf numFmtId="10" fontId="0" fillId="6" borderId="0" xfId="0" applyNumberFormat="1" applyFill="1"/>
    <xf numFmtId="0" fontId="0" fillId="7" borderId="0" xfId="0" applyFill="1"/>
    <xf numFmtId="0" fontId="0" fillId="7" borderId="0" xfId="0" applyNumberFormat="1" applyFill="1"/>
    <xf numFmtId="2" fontId="4" fillId="0" borderId="0" xfId="0" applyNumberFormat="1" applyFont="1"/>
    <xf numFmtId="9" fontId="0" fillId="2" borderId="0" xfId="0" applyNumberFormat="1" applyFill="1"/>
    <xf numFmtId="9" fontId="4" fillId="2" borderId="0" xfId="0" applyNumberFormat="1" applyFont="1" applyFill="1"/>
    <xf numFmtId="175" fontId="0" fillId="0" borderId="0" xfId="0" applyNumberFormat="1"/>
    <xf numFmtId="177" fontId="0" fillId="0" borderId="0" xfId="0" applyNumberFormat="1"/>
    <xf numFmtId="177" fontId="0" fillId="8" borderId="0" xfId="0" applyNumberFormat="1" applyFill="1"/>
    <xf numFmtId="10" fontId="0" fillId="8" borderId="0" xfId="0" applyNumberFormat="1" applyFill="1"/>
    <xf numFmtId="0" fontId="0" fillId="3" borderId="0" xfId="0" applyFill="1"/>
    <xf numFmtId="177" fontId="0" fillId="9" borderId="0" xfId="0" applyNumberFormat="1" applyFill="1"/>
    <xf numFmtId="177" fontId="5" fillId="0" borderId="0" xfId="0" applyNumberFormat="1" applyFont="1"/>
    <xf numFmtId="1" fontId="0" fillId="2" borderId="0" xfId="0" applyNumberFormat="1" applyFill="1"/>
    <xf numFmtId="175" fontId="0" fillId="2" borderId="0" xfId="0" applyNumberFormat="1" applyFill="1"/>
    <xf numFmtId="177" fontId="0" fillId="2" borderId="0" xfId="0" applyNumberFormat="1" applyFill="1"/>
    <xf numFmtId="0" fontId="0" fillId="0" borderId="0" xfId="0" applyAlignment="1">
      <alignment horizontal="right"/>
    </xf>
    <xf numFmtId="0" fontId="0" fillId="7" borderId="0" xfId="0" applyFill="1" applyAlignment="1">
      <alignment wrapText="1"/>
    </xf>
    <xf numFmtId="2" fontId="0" fillId="7" borderId="0" xfId="0" applyNumberFormat="1" applyFill="1"/>
    <xf numFmtId="177" fontId="0" fillId="7" borderId="0" xfId="0" applyNumberFormat="1" applyFill="1"/>
    <xf numFmtId="187" fontId="0" fillId="7" borderId="0" xfId="0" applyNumberFormat="1" applyFill="1"/>
    <xf numFmtId="0" fontId="0" fillId="2" borderId="0" xfId="0" applyFill="1" applyAlignment="1">
      <alignment wrapText="1"/>
    </xf>
    <xf numFmtId="0" fontId="0" fillId="0" borderId="0" xfId="0" applyAlignment="1">
      <alignment horizontal="left" wrapText="1"/>
    </xf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Valuation</a:t>
            </a:r>
            <a:r>
              <a:rPr lang="en-IN" baseline="0"/>
              <a:t> Summary vs Doordash offer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'Valuation vs Doordash'!$B$5:$B$10</c:f>
              <c:strCache>
                <c:ptCount val="6"/>
                <c:pt idx="0">
                  <c:v>52-Week Trading Range</c:v>
                </c:pt>
                <c:pt idx="1">
                  <c:v>Comparable Analysis (Ebitda)</c:v>
                </c:pt>
                <c:pt idx="2">
                  <c:v>Comparable Analysis (Revenue)</c:v>
                </c:pt>
                <c:pt idx="3">
                  <c:v>DCF(Bear case)</c:v>
                </c:pt>
                <c:pt idx="4">
                  <c:v>DCF(Base case)</c:v>
                </c:pt>
                <c:pt idx="5">
                  <c:v>Transaction Price (Doordash)</c:v>
                </c:pt>
              </c:strCache>
            </c:strRef>
          </c:cat>
          <c:val>
            <c:numRef>
              <c:f>'Valuation vs Doordash'!$E$5:$E$9</c:f>
              <c:numCache>
                <c:formatCode>General</c:formatCode>
                <c:ptCount val="5"/>
                <c:pt idx="0">
                  <c:v>0.8</c:v>
                </c:pt>
                <c:pt idx="1">
                  <c:v>1.6</c:v>
                </c:pt>
                <c:pt idx="2">
                  <c:v>2.6</c:v>
                </c:pt>
                <c:pt idx="3">
                  <c:v>1.5</c:v>
                </c:pt>
                <c:pt idx="4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0-4E46-9219-87C49EC90CB9}"/>
            </c:ext>
          </c:extLst>
        </c:ser>
        <c:ser>
          <c:idx val="1"/>
          <c:order val="1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'Valuation vs Doordash'!$B$5:$B$10</c:f>
              <c:strCache>
                <c:ptCount val="6"/>
                <c:pt idx="0">
                  <c:v>52-Week Trading Range</c:v>
                </c:pt>
                <c:pt idx="1">
                  <c:v>Comparable Analysis (Ebitda)</c:v>
                </c:pt>
                <c:pt idx="2">
                  <c:v>Comparable Analysis (Revenue)</c:v>
                </c:pt>
                <c:pt idx="3">
                  <c:v>DCF(Bear case)</c:v>
                </c:pt>
                <c:pt idx="4">
                  <c:v>DCF(Base case)</c:v>
                </c:pt>
                <c:pt idx="5">
                  <c:v>Transaction Price (Doordash)</c:v>
                </c:pt>
              </c:strCache>
            </c:strRef>
          </c:cat>
          <c:val>
            <c:numRef>
              <c:f>'Valuation vs Doordash'!$F$5:$F$9</c:f>
              <c:numCache>
                <c:formatCode>General</c:formatCode>
                <c:ptCount val="5"/>
                <c:pt idx="0">
                  <c:v>0.89999999999999991</c:v>
                </c:pt>
                <c:pt idx="1">
                  <c:v>0.39999999999999991</c:v>
                </c:pt>
                <c:pt idx="2">
                  <c:v>0.60000000000000009</c:v>
                </c:pt>
                <c:pt idx="3">
                  <c:v>0.25</c:v>
                </c:pt>
                <c:pt idx="4">
                  <c:v>0.29999999999999982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0-4E46-9219-87C49EC90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3775296"/>
        <c:axId val="1299523824"/>
      </c:barChart>
      <c:catAx>
        <c:axId val="1073775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523824"/>
        <c:crosses val="autoZero"/>
        <c:auto val="1"/>
        <c:lblAlgn val="ctr"/>
        <c:lblOffset val="100"/>
        <c:noMultiLvlLbl val="0"/>
      </c:catAx>
      <c:valAx>
        <c:axId val="12995238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77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22860</xdr:rowOff>
    </xdr:from>
    <xdr:to>
      <xdr:col>14</xdr:col>
      <xdr:colOff>236220</xdr:colOff>
      <xdr:row>2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EF4891-7EBE-FE80-196F-30144EC267A2}"/>
            </a:ext>
          </a:extLst>
        </xdr:cNvPr>
        <xdr:cNvSpPr txBox="1"/>
      </xdr:nvSpPr>
      <xdr:spPr>
        <a:xfrm>
          <a:off x="3733800" y="22860"/>
          <a:ext cx="5036820" cy="42672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Fairness Opinion : Valuation Range vs Doordash Offer</a:t>
          </a:r>
        </a:p>
      </xdr:txBody>
    </xdr:sp>
    <xdr:clientData/>
  </xdr:twoCellAnchor>
  <xdr:twoCellAnchor>
    <xdr:from>
      <xdr:col>7</xdr:col>
      <xdr:colOff>99060</xdr:colOff>
      <xdr:row>4</xdr:row>
      <xdr:rowOff>316230</xdr:rowOff>
    </xdr:from>
    <xdr:to>
      <xdr:col>14</xdr:col>
      <xdr:colOff>403860</xdr:colOff>
      <xdr:row>16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691AF4-F112-5AF4-3B30-E1829C3AA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160020</xdr:colOff>
      <xdr:row>6</xdr:row>
      <xdr:rowOff>167640</xdr:rowOff>
    </xdr:from>
    <xdr:to>
      <xdr:col>12</xdr:col>
      <xdr:colOff>160020</xdr:colOff>
      <xdr:row>17</xdr:row>
      <xdr:rowOff>22860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7CDD140-BA6C-C3BB-7835-3B8CFCE1FEA8}"/>
            </a:ext>
          </a:extLst>
        </xdr:cNvPr>
        <xdr:cNvCxnSpPr/>
      </xdr:nvCxnSpPr>
      <xdr:spPr>
        <a:xfrm>
          <a:off x="7917180" y="1630680"/>
          <a:ext cx="0" cy="2232660"/>
        </a:xfrm>
        <a:prstGeom prst="line">
          <a:avLst/>
        </a:prstGeom>
        <a:ln w="254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396240</xdr:colOff>
      <xdr:row>6</xdr:row>
      <xdr:rowOff>510540</xdr:rowOff>
    </xdr:from>
    <xdr:to>
      <xdr:col>14</xdr:col>
      <xdr:colOff>243840</xdr:colOff>
      <xdr:row>9</xdr:row>
      <xdr:rowOff>68580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9BBCF9C-5105-B01E-7CE1-9CFF16C0D2D6}"/>
            </a:ext>
          </a:extLst>
        </xdr:cNvPr>
        <xdr:cNvSpPr txBox="1"/>
      </xdr:nvSpPr>
      <xdr:spPr>
        <a:xfrm>
          <a:off x="8153400" y="1973580"/>
          <a:ext cx="1066800" cy="472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Offer -1.80GBP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144780</xdr:rowOff>
    </xdr:from>
    <xdr:to>
      <xdr:col>6</xdr:col>
      <xdr:colOff>533400</xdr:colOff>
      <xdr:row>47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7A76C1-258D-3380-6B24-FB07841845BF}"/>
            </a:ext>
          </a:extLst>
        </xdr:cNvPr>
        <xdr:cNvSpPr txBox="1"/>
      </xdr:nvSpPr>
      <xdr:spPr>
        <a:xfrm>
          <a:off x="0" y="6324600"/>
          <a:ext cx="5501640" cy="32766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ASSUMPTIONS/NOTES-</a:t>
          </a:r>
        </a:p>
        <a:p>
          <a:br>
            <a:rPr lang="en-IN" sz="1100" baseline="0"/>
          </a:br>
          <a:r>
            <a:rPr lang="en-IN" sz="1100" baseline="0"/>
            <a:t>*Interest positive as they are cash rich. Interest rate will come down but their cash pile will also increase</a:t>
          </a:r>
        </a:p>
        <a:p>
          <a:endParaRPr lang="en-IN" sz="1100" baseline="0"/>
        </a:p>
        <a:p>
          <a:pPr fontAlgn="base"/>
          <a:r>
            <a:rPr lang="en-IN" sz="1100" baseline="0"/>
            <a:t>TAX</a:t>
          </a:r>
          <a:br>
            <a:rPr lang="en-IN" sz="1100" baseline="0"/>
          </a:br>
          <a:r>
            <a:rPr lang="en-IN" sz="1100" baseline="0"/>
            <a:t>*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Unrecognised UK tax losses £1,401m at H1 2025 (Deliveroo H1 2025 interim results, Note on taxation); assumed no recognition in forecast period as Group only became profitable in 2024 and UK segment still loss-making.</a:t>
          </a:r>
        </a:p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tax reflects taxable profits in international jurisdictions (primarily UAE, Kuwait, Qatar, Singapore, Hong Kong) which cannot be offset by UK losses; modelled as £20m in 2025e growing in line with international revenue (consensus: £21–23m 2025e).</a:t>
          </a:r>
        </a:p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Pillar Two top-up tax negligible (£0.4m in FY2024; company states most jurisdictions &gt;15% ETR and safe harbours apply).</a:t>
          </a:r>
        </a:p>
        <a:p>
          <a:pPr fontAlgn="base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Long-term effective tax rate 18–20% (current international only; deferred tax kicks in post-2030 when UK losses exhausted).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2030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Blended tax is assumed to be 22%</a:t>
          </a:r>
          <a:endParaRPr lang="en-I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19</xdr:row>
      <xdr:rowOff>30480</xdr:rowOff>
    </xdr:from>
    <xdr:to>
      <xdr:col>12</xdr:col>
      <xdr:colOff>510540</xdr:colOff>
      <xdr:row>21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0CB515-1E80-A968-CCE2-558EEEB3FACC}"/>
            </a:ext>
          </a:extLst>
        </xdr:cNvPr>
        <xdr:cNvSpPr txBox="1"/>
      </xdr:nvSpPr>
      <xdr:spPr>
        <a:xfrm>
          <a:off x="8564880" y="3505200"/>
          <a:ext cx="3253740" cy="35052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accent1">
                  <a:lumMod val="50000"/>
                </a:schemeClr>
              </a:solidFill>
            </a:rPr>
            <a:t>Sensitive Analysis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0983-E33C-44E3-B321-51E1A8954A26}">
  <sheetPr>
    <tabColor rgb="FFFFFF00"/>
  </sheetPr>
  <dimension ref="B4:F10"/>
  <sheetViews>
    <sheetView tabSelected="1" workbookViewId="0">
      <selection activeCell="C21" sqref="C21"/>
    </sheetView>
  </sheetViews>
  <sheetFormatPr defaultRowHeight="14.4" x14ac:dyDescent="0.3"/>
  <cols>
    <col min="2" max="2" width="15.33203125" customWidth="1"/>
  </cols>
  <sheetData>
    <row r="4" spans="2:6" x14ac:dyDescent="0.3">
      <c r="B4" s="7" t="s">
        <v>91</v>
      </c>
      <c r="C4" s="7" t="s">
        <v>92</v>
      </c>
      <c r="D4" s="7" t="s">
        <v>93</v>
      </c>
      <c r="E4" s="7" t="s">
        <v>94</v>
      </c>
      <c r="F4" s="7" t="s">
        <v>95</v>
      </c>
    </row>
    <row r="5" spans="2:6" ht="28.8" x14ac:dyDescent="0.3">
      <c r="B5" s="5" t="s">
        <v>96</v>
      </c>
      <c r="C5">
        <v>0.8</v>
      </c>
      <c r="D5">
        <v>1.7</v>
      </c>
      <c r="E5">
        <f>C5</f>
        <v>0.8</v>
      </c>
      <c r="F5">
        <f>D5-C5</f>
        <v>0.89999999999999991</v>
      </c>
    </row>
    <row r="6" spans="2:6" ht="28.8" x14ac:dyDescent="0.3">
      <c r="B6" s="5" t="s">
        <v>97</v>
      </c>
      <c r="C6">
        <v>1.6</v>
      </c>
      <c r="D6">
        <v>2</v>
      </c>
      <c r="E6">
        <f t="shared" ref="E6:E9" si="0">C6</f>
        <v>1.6</v>
      </c>
      <c r="F6">
        <f t="shared" ref="F6:F9" si="1">D6-C6</f>
        <v>0.39999999999999991</v>
      </c>
    </row>
    <row r="7" spans="2:6" ht="43.2" x14ac:dyDescent="0.3">
      <c r="B7" s="5" t="s">
        <v>98</v>
      </c>
      <c r="C7">
        <v>2.6</v>
      </c>
      <c r="D7">
        <v>3.2</v>
      </c>
      <c r="E7">
        <f t="shared" si="0"/>
        <v>2.6</v>
      </c>
      <c r="F7">
        <f t="shared" si="1"/>
        <v>0.60000000000000009</v>
      </c>
    </row>
    <row r="8" spans="2:6" x14ac:dyDescent="0.3">
      <c r="B8" s="5" t="s">
        <v>99</v>
      </c>
      <c r="C8">
        <v>1.5</v>
      </c>
      <c r="D8">
        <v>1.75</v>
      </c>
      <c r="E8">
        <f t="shared" si="0"/>
        <v>1.5</v>
      </c>
      <c r="F8">
        <f t="shared" si="1"/>
        <v>0.25</v>
      </c>
    </row>
    <row r="9" spans="2:6" x14ac:dyDescent="0.3">
      <c r="B9" s="5" t="s">
        <v>100</v>
      </c>
      <c r="C9">
        <v>2.1</v>
      </c>
      <c r="D9">
        <v>2.4</v>
      </c>
      <c r="E9">
        <f t="shared" si="0"/>
        <v>2.1</v>
      </c>
      <c r="F9">
        <f t="shared" si="1"/>
        <v>0.29999999999999982</v>
      </c>
    </row>
    <row r="10" spans="2:6" ht="28.8" x14ac:dyDescent="0.3">
      <c r="B10" s="43" t="s">
        <v>101</v>
      </c>
      <c r="C10">
        <v>1.8</v>
      </c>
      <c r="D10">
        <v>1.8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1EF0-A9B8-492A-9A86-ADD84596A2D2}">
  <sheetPr>
    <tabColor theme="9" tint="0.39997558519241921"/>
  </sheetPr>
  <dimension ref="A1:D22"/>
  <sheetViews>
    <sheetView workbookViewId="0">
      <selection activeCell="C22" sqref="C22"/>
    </sheetView>
  </sheetViews>
  <sheetFormatPr defaultRowHeight="14.4" x14ac:dyDescent="0.3"/>
  <cols>
    <col min="1" max="1" width="27.109375" customWidth="1"/>
    <col min="2" max="2" width="25.33203125" customWidth="1"/>
    <col min="3" max="3" width="26.44140625" customWidth="1"/>
  </cols>
  <sheetData>
    <row r="1" spans="1:4" s="1" customFormat="1" ht="29.4" customHeight="1" x14ac:dyDescent="0.4">
      <c r="A1" s="2" t="s">
        <v>0</v>
      </c>
      <c r="B1" s="2"/>
      <c r="C1" s="3"/>
      <c r="D1" s="3"/>
    </row>
    <row r="3" spans="1:4" s="7" customFormat="1" x14ac:dyDescent="0.3">
      <c r="A3" s="7" t="s">
        <v>1</v>
      </c>
      <c r="B3" s="7" t="s">
        <v>2</v>
      </c>
      <c r="C3" s="7" t="s">
        <v>3</v>
      </c>
    </row>
    <row r="4" spans="1:4" x14ac:dyDescent="0.3">
      <c r="A4" s="5"/>
      <c r="C4" s="44"/>
    </row>
    <row r="5" spans="1:4" x14ac:dyDescent="0.3">
      <c r="A5" s="5"/>
      <c r="C5" s="44"/>
    </row>
    <row r="6" spans="1:4" ht="28.8" x14ac:dyDescent="0.3">
      <c r="A6" s="5" t="s">
        <v>102</v>
      </c>
      <c r="B6">
        <v>25.1</v>
      </c>
      <c r="C6" s="44" t="s">
        <v>4</v>
      </c>
    </row>
    <row r="7" spans="1:4" x14ac:dyDescent="0.3">
      <c r="A7" s="5" t="s">
        <v>34</v>
      </c>
      <c r="B7" s="6">
        <v>0.03</v>
      </c>
      <c r="C7" s="44" t="s">
        <v>105</v>
      </c>
    </row>
    <row r="8" spans="1:4" ht="28.8" x14ac:dyDescent="0.3">
      <c r="A8" s="5" t="s">
        <v>5</v>
      </c>
      <c r="B8" s="4">
        <v>0.27900000000000003</v>
      </c>
      <c r="C8" s="44" t="s">
        <v>6</v>
      </c>
    </row>
    <row r="9" spans="1:4" ht="28.8" x14ac:dyDescent="0.3">
      <c r="A9" s="5" t="s">
        <v>103</v>
      </c>
      <c r="B9">
        <v>4.5</v>
      </c>
      <c r="C9" s="44" t="s">
        <v>9</v>
      </c>
    </row>
    <row r="10" spans="1:4" x14ac:dyDescent="0.3">
      <c r="A10" s="5" t="s">
        <v>104</v>
      </c>
      <c r="B10">
        <v>52</v>
      </c>
      <c r="C10" s="44" t="s">
        <v>10</v>
      </c>
    </row>
    <row r="11" spans="1:4" x14ac:dyDescent="0.3">
      <c r="A11" s="5" t="s">
        <v>18</v>
      </c>
      <c r="B11" s="4">
        <v>7.0000000000000007E-2</v>
      </c>
      <c r="C11" s="44"/>
    </row>
    <row r="12" spans="1:4" x14ac:dyDescent="0.3">
      <c r="A12" s="5" t="s">
        <v>7</v>
      </c>
      <c r="B12">
        <v>1702</v>
      </c>
      <c r="C12" s="44" t="s">
        <v>11</v>
      </c>
    </row>
    <row r="13" spans="1:4" x14ac:dyDescent="0.3">
      <c r="A13" s="5" t="s">
        <v>8</v>
      </c>
      <c r="B13">
        <v>1.8</v>
      </c>
      <c r="C13" s="44"/>
    </row>
    <row r="14" spans="1:4" x14ac:dyDescent="0.3">
      <c r="A14" s="5" t="s">
        <v>16</v>
      </c>
      <c r="B14" s="38" t="s">
        <v>17</v>
      </c>
      <c r="C14" s="44"/>
    </row>
    <row r="15" spans="1:4" x14ac:dyDescent="0.3">
      <c r="A15" s="5" t="s">
        <v>30</v>
      </c>
      <c r="B15" s="6">
        <v>0.04</v>
      </c>
      <c r="C15" s="44"/>
    </row>
    <row r="16" spans="1:4" x14ac:dyDescent="0.3">
      <c r="A16" s="5" t="s">
        <v>31</v>
      </c>
      <c r="B16" s="9">
        <v>3.5</v>
      </c>
      <c r="C16" s="44">
        <v>2024</v>
      </c>
    </row>
    <row r="17" spans="1:3" x14ac:dyDescent="0.3">
      <c r="A17" s="5" t="s">
        <v>36</v>
      </c>
      <c r="B17" s="4">
        <v>0.03</v>
      </c>
      <c r="C17" s="44"/>
    </row>
    <row r="18" spans="1:3" x14ac:dyDescent="0.3">
      <c r="A18" s="5"/>
      <c r="B18" s="6"/>
      <c r="C18" s="44"/>
    </row>
    <row r="19" spans="1:3" x14ac:dyDescent="0.3">
      <c r="A19" s="5" t="s">
        <v>15</v>
      </c>
      <c r="B19" s="6">
        <v>0.03</v>
      </c>
      <c r="C19" s="44" t="s">
        <v>19</v>
      </c>
    </row>
    <row r="20" spans="1:3" x14ac:dyDescent="0.3">
      <c r="A20" s="5" t="s">
        <v>13</v>
      </c>
      <c r="B20" s="6">
        <v>0.12</v>
      </c>
      <c r="C20" s="44" t="s">
        <v>20</v>
      </c>
    </row>
    <row r="21" spans="1:3" x14ac:dyDescent="0.3">
      <c r="A21" s="5" t="s">
        <v>14</v>
      </c>
      <c r="B21" s="28">
        <v>1.4999999999999999E-2</v>
      </c>
      <c r="C21" s="44" t="s">
        <v>21</v>
      </c>
    </row>
    <row r="22" spans="1:3" x14ac:dyDescent="0.3">
      <c r="A22" s="5"/>
      <c r="C22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H21"/>
  <sheetViews>
    <sheetView topLeftCell="A2" workbookViewId="0">
      <selection activeCell="A6" sqref="A6:XFD6"/>
    </sheetView>
  </sheetViews>
  <sheetFormatPr defaultRowHeight="14.4" x14ac:dyDescent="0.3"/>
  <cols>
    <col min="1" max="1" width="24.5546875" customWidth="1"/>
    <col min="2" max="2" width="13.5546875" style="19" customWidth="1"/>
    <col min="3" max="3" width="14.109375" customWidth="1"/>
    <col min="4" max="4" width="12.77734375" customWidth="1"/>
    <col min="5" max="5" width="14.77734375" customWidth="1"/>
    <col min="6" max="6" width="15.6640625" customWidth="1"/>
    <col min="7" max="7" width="16" customWidth="1"/>
  </cols>
  <sheetData>
    <row r="1" spans="1:8" s="8" customFormat="1" ht="31.2" customHeight="1" x14ac:dyDescent="0.4">
      <c r="A1" s="8" t="s">
        <v>27</v>
      </c>
      <c r="B1" s="18"/>
    </row>
    <row r="3" spans="1:8" s="23" customFormat="1" x14ac:dyDescent="0.3">
      <c r="B3" s="23">
        <v>2024</v>
      </c>
      <c r="C3" s="24" t="s">
        <v>23</v>
      </c>
      <c r="D3" s="24" t="s">
        <v>24</v>
      </c>
      <c r="E3" s="23" t="s">
        <v>25</v>
      </c>
      <c r="F3" s="23" t="s">
        <v>26</v>
      </c>
      <c r="G3" s="23" t="s">
        <v>28</v>
      </c>
      <c r="H3" s="23" t="s">
        <v>70</v>
      </c>
    </row>
    <row r="4" spans="1:8" x14ac:dyDescent="0.3">
      <c r="A4" t="s">
        <v>22</v>
      </c>
    </row>
    <row r="6" spans="1:8" s="7" customFormat="1" x14ac:dyDescent="0.3">
      <c r="A6" s="7" t="s">
        <v>27</v>
      </c>
    </row>
    <row r="7" spans="1:8" x14ac:dyDescent="0.3">
      <c r="A7" t="s">
        <v>33</v>
      </c>
      <c r="B7" s="20">
        <v>7.1</v>
      </c>
      <c r="C7" s="12">
        <v>7.1</v>
      </c>
      <c r="D7" s="12">
        <f>C7+(C7*D8)</f>
        <v>7.3839999999999995</v>
      </c>
      <c r="E7" s="12">
        <f t="shared" ref="E7:H7" si="0">D7+(D7*E8)</f>
        <v>7.6793599999999991</v>
      </c>
      <c r="F7" s="12">
        <f t="shared" si="0"/>
        <v>7.9865343999999991</v>
      </c>
      <c r="G7" s="12">
        <f t="shared" si="0"/>
        <v>8.2261304319999997</v>
      </c>
      <c r="H7" s="12">
        <f t="shared" si="0"/>
        <v>8.4729143449599995</v>
      </c>
    </row>
    <row r="8" spans="1:8" x14ac:dyDescent="0.3">
      <c r="A8" t="s">
        <v>29</v>
      </c>
      <c r="B8" s="20"/>
      <c r="C8" s="14">
        <v>0.02</v>
      </c>
      <c r="D8" s="14">
        <f>Assumption!$B$15</f>
        <v>0.04</v>
      </c>
      <c r="E8" s="14">
        <f>Assumption!$B$15</f>
        <v>0.04</v>
      </c>
      <c r="F8" s="14">
        <f>Assumption!$B$15</f>
        <v>0.04</v>
      </c>
      <c r="G8" s="14">
        <v>0.03</v>
      </c>
      <c r="H8" s="14">
        <v>0.03</v>
      </c>
    </row>
    <row r="9" spans="1:8" x14ac:dyDescent="0.3">
      <c r="A9" t="s">
        <v>31</v>
      </c>
      <c r="B9" s="20">
        <v>3.5</v>
      </c>
      <c r="C9" s="12">
        <f>B9+(B9*C10)</f>
        <v>3.605</v>
      </c>
      <c r="D9" s="12">
        <f t="shared" ref="D9:H9" si="1">C9+(C9*D10)</f>
        <v>3.7131500000000002</v>
      </c>
      <c r="E9" s="12">
        <f t="shared" si="1"/>
        <v>3.8245445</v>
      </c>
      <c r="F9" s="12">
        <f t="shared" si="1"/>
        <v>3.9392808349999999</v>
      </c>
      <c r="G9" s="12">
        <f t="shared" si="1"/>
        <v>4.0574592600499999</v>
      </c>
      <c r="H9" s="12">
        <f t="shared" si="1"/>
        <v>4.1791830378514998</v>
      </c>
    </row>
    <row r="10" spans="1:8" x14ac:dyDescent="0.3">
      <c r="A10" t="s">
        <v>29</v>
      </c>
      <c r="B10" s="20"/>
      <c r="C10" s="14">
        <f>Assumption!$B$17</f>
        <v>0.03</v>
      </c>
      <c r="D10" s="14">
        <f>Assumption!$B$17</f>
        <v>0.03</v>
      </c>
      <c r="E10" s="14">
        <f>Assumption!$B$17</f>
        <v>0.03</v>
      </c>
      <c r="F10" s="14">
        <f>Assumption!$B$17</f>
        <v>0.03</v>
      </c>
      <c r="G10" s="14">
        <f>Assumption!$B$17</f>
        <v>0.03</v>
      </c>
      <c r="H10" s="14">
        <f>Assumption!$B$17</f>
        <v>0.03</v>
      </c>
    </row>
    <row r="11" spans="1:8" x14ac:dyDescent="0.3">
      <c r="A11" t="s">
        <v>32</v>
      </c>
      <c r="B11" s="20">
        <v>296</v>
      </c>
      <c r="C11" s="12">
        <f t="shared" ref="C11:H11" si="2">C7*C9*12</f>
        <v>307.14599999999996</v>
      </c>
      <c r="D11" s="12">
        <f t="shared" si="2"/>
        <v>329.01479519999998</v>
      </c>
      <c r="E11" s="12">
        <f t="shared" si="2"/>
        <v>352.44064861823995</v>
      </c>
      <c r="F11" s="12">
        <f t="shared" si="2"/>
        <v>377.53442279985865</v>
      </c>
      <c r="G11" s="12">
        <f t="shared" si="2"/>
        <v>400.52626914837003</v>
      </c>
      <c r="H11" s="12">
        <f t="shared" si="2"/>
        <v>424.91831893950575</v>
      </c>
    </row>
    <row r="12" spans="1:8" x14ac:dyDescent="0.3">
      <c r="A12" t="s">
        <v>29</v>
      </c>
      <c r="C12" s="4">
        <f>(C11-B11)/B11</f>
        <v>3.7655405405405261E-2</v>
      </c>
      <c r="D12" s="4">
        <f t="shared" ref="D12:H12" si="3">(D11-C11)/C11</f>
        <v>7.1200000000000083E-2</v>
      </c>
      <c r="E12" s="4">
        <f t="shared" si="3"/>
        <v>7.1199999999999902E-2</v>
      </c>
      <c r="F12" s="4">
        <f t="shared" si="3"/>
        <v>7.1200000000000041E-2</v>
      </c>
      <c r="G12" s="4">
        <f t="shared" si="3"/>
        <v>6.0899999999999989E-2</v>
      </c>
      <c r="H12" s="4">
        <f t="shared" si="3"/>
        <v>6.0899999999999961E-2</v>
      </c>
    </row>
    <row r="13" spans="1:8" x14ac:dyDescent="0.3">
      <c r="A13" t="s">
        <v>35</v>
      </c>
      <c r="B13" s="19">
        <f>Assumption!B6</f>
        <v>25.1</v>
      </c>
      <c r="C13" s="13">
        <f>B13+(B13*C14)</f>
        <v>26.104000000000003</v>
      </c>
      <c r="D13" s="13">
        <f t="shared" ref="D13:H13" si="4">C13+(C13*D14)</f>
        <v>27.148160000000004</v>
      </c>
      <c r="E13" s="13">
        <f t="shared" si="4"/>
        <v>28.234086400000006</v>
      </c>
      <c r="F13" s="13">
        <f t="shared" si="4"/>
        <v>29.504620288000005</v>
      </c>
      <c r="G13" s="13">
        <f t="shared" si="4"/>
        <v>30.389758896640004</v>
      </c>
      <c r="H13" s="13">
        <f t="shared" si="4"/>
        <v>31.301451663539204</v>
      </c>
    </row>
    <row r="14" spans="1:8" x14ac:dyDescent="0.3">
      <c r="A14" t="s">
        <v>29</v>
      </c>
      <c r="C14" s="15">
        <v>0.04</v>
      </c>
      <c r="D14" s="15">
        <v>0.04</v>
      </c>
      <c r="E14" s="15">
        <v>0.04</v>
      </c>
      <c r="F14" s="15">
        <v>4.4999999999999998E-2</v>
      </c>
      <c r="G14" s="15">
        <f>Assumption!$B$7</f>
        <v>0.03</v>
      </c>
      <c r="H14" s="15">
        <f>Assumption!$B$7</f>
        <v>0.03</v>
      </c>
    </row>
    <row r="15" spans="1:8" x14ac:dyDescent="0.3">
      <c r="A15" t="s">
        <v>37</v>
      </c>
      <c r="B15" s="21">
        <v>7434</v>
      </c>
      <c r="C15" s="11">
        <f t="shared" ref="C15:H15" si="5">C11*C13</f>
        <v>8017.739184</v>
      </c>
      <c r="D15" s="11">
        <f t="shared" si="5"/>
        <v>8932.1463024568329</v>
      </c>
      <c r="E15" s="11">
        <f t="shared" si="5"/>
        <v>9950.8397239594287</v>
      </c>
      <c r="F15" s="11">
        <f t="shared" si="5"/>
        <v>11139.009790359081</v>
      </c>
      <c r="G15" s="11">
        <f t="shared" si="5"/>
        <v>12171.896751189706</v>
      </c>
      <c r="H15" s="11">
        <f t="shared" si="5"/>
        <v>13300.560221237274</v>
      </c>
    </row>
    <row r="16" spans="1:8" x14ac:dyDescent="0.3">
      <c r="A16" t="s">
        <v>29</v>
      </c>
      <c r="C16" s="4">
        <f>(C15-B15)/B15</f>
        <v>7.852289265536723E-2</v>
      </c>
      <c r="D16" s="4">
        <f t="shared" ref="D16:H16" si="6">(D15-C15)/C15</f>
        <v>0.11404800000000011</v>
      </c>
      <c r="E16" s="4">
        <f t="shared" si="6"/>
        <v>0.11404799999999989</v>
      </c>
      <c r="F16" s="4">
        <f t="shared" si="6"/>
        <v>0.11940400000000009</v>
      </c>
      <c r="G16" s="4">
        <f t="shared" si="6"/>
        <v>9.2726999999999865E-2</v>
      </c>
      <c r="H16" s="4">
        <f t="shared" si="6"/>
        <v>9.2727000000000004E-2</v>
      </c>
    </row>
    <row r="17" spans="1:8" x14ac:dyDescent="0.3">
      <c r="A17" t="s">
        <v>38</v>
      </c>
      <c r="B17" s="22">
        <f>Assumption!$B$8</f>
        <v>0.27900000000000003</v>
      </c>
      <c r="C17" s="14">
        <f>Assumption!$B$8</f>
        <v>0.27900000000000003</v>
      </c>
      <c r="D17" s="14">
        <f>Assumption!$B$8</f>
        <v>0.27900000000000003</v>
      </c>
      <c r="E17" s="14">
        <f>Assumption!$B$8</f>
        <v>0.27900000000000003</v>
      </c>
      <c r="F17" s="14">
        <f>Assumption!$B$8</f>
        <v>0.27900000000000003</v>
      </c>
      <c r="G17" s="14">
        <f>Assumption!$B$8</f>
        <v>0.27900000000000003</v>
      </c>
      <c r="H17" s="14">
        <f>Assumption!$B$8</f>
        <v>0.27900000000000003</v>
      </c>
    </row>
    <row r="19" spans="1:8" s="7" customFormat="1" x14ac:dyDescent="0.3">
      <c r="A19" s="7" t="s">
        <v>27</v>
      </c>
      <c r="B19" s="35">
        <v>2072</v>
      </c>
      <c r="C19" s="35">
        <f t="shared" ref="C19:H19" si="7">C15*C17</f>
        <v>2236.949232336</v>
      </c>
      <c r="D19" s="35">
        <f t="shared" si="7"/>
        <v>2492.0688183854568</v>
      </c>
      <c r="E19" s="35">
        <f t="shared" si="7"/>
        <v>2776.2842829846809</v>
      </c>
      <c r="F19" s="35">
        <f t="shared" si="7"/>
        <v>3107.7837315101838</v>
      </c>
      <c r="G19" s="35">
        <f t="shared" si="7"/>
        <v>3395.9591935819285</v>
      </c>
      <c r="H19" s="35">
        <f t="shared" si="7"/>
        <v>3710.8563017252</v>
      </c>
    </row>
    <row r="21" spans="1:8" x14ac:dyDescent="0.3">
      <c r="A21" t="s">
        <v>39</v>
      </c>
      <c r="C21" s="4">
        <f>(C19-B19)/B19</f>
        <v>7.9608702864864878E-2</v>
      </c>
      <c r="D21" s="4">
        <f t="shared" ref="D21:H21" si="8">(D19-C19)/C19</f>
        <v>0.11404800000000027</v>
      </c>
      <c r="E21" s="4">
        <f t="shared" si="8"/>
        <v>0.11404799999999982</v>
      </c>
      <c r="F21" s="4">
        <f t="shared" si="8"/>
        <v>0.11940400000000002</v>
      </c>
      <c r="G21" s="4">
        <f t="shared" si="8"/>
        <v>9.2726999999999976E-2</v>
      </c>
      <c r="H21" s="4">
        <f t="shared" si="8"/>
        <v>9.272699999999999E-2</v>
      </c>
    </row>
  </sheetData>
  <pageMargins left="0.7" right="0.7" top="0.75" bottom="0.75" header="0.3" footer="0.3"/>
  <ignoredErrors>
    <ignoredError sqref="D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BFED-ACD3-4997-86C6-A591BD0795E4}">
  <sheetPr>
    <tabColor theme="9" tint="0.39997558519241921"/>
  </sheetPr>
  <dimension ref="A2:M29"/>
  <sheetViews>
    <sheetView topLeftCell="A19" workbookViewId="0">
      <selection activeCell="I32" sqref="I32"/>
    </sheetView>
  </sheetViews>
  <sheetFormatPr defaultRowHeight="14.4" x14ac:dyDescent="0.3"/>
  <cols>
    <col min="1" max="1" width="17.33203125" customWidth="1"/>
    <col min="2" max="2" width="19.5546875" customWidth="1"/>
  </cols>
  <sheetData>
    <row r="2" spans="1:13" s="17" customFormat="1" ht="25.8" x14ac:dyDescent="0.5">
      <c r="A2" s="17" t="s">
        <v>40</v>
      </c>
    </row>
    <row r="3" spans="1:13" x14ac:dyDescent="0.3">
      <c r="B3">
        <f>Revenue!B3</f>
        <v>2024</v>
      </c>
      <c r="C3" t="str">
        <f>Revenue!C3</f>
        <v>2025 E</v>
      </c>
      <c r="D3" t="str">
        <f>Revenue!D3</f>
        <v>2026 E</v>
      </c>
      <c r="E3" t="str">
        <f>Revenue!E3</f>
        <v>2027 E</v>
      </c>
      <c r="F3" t="str">
        <f>Revenue!F3</f>
        <v>2028E</v>
      </c>
      <c r="G3" t="str">
        <f>Revenue!G3</f>
        <v>2029 E</v>
      </c>
      <c r="H3" t="s">
        <v>70</v>
      </c>
    </row>
    <row r="5" spans="1:13" x14ac:dyDescent="0.3">
      <c r="A5" t="s">
        <v>41</v>
      </c>
      <c r="B5" s="11">
        <f>Revenue!B19</f>
        <v>2072</v>
      </c>
      <c r="C5" s="11">
        <f>Revenue!C19</f>
        <v>2236.949232336</v>
      </c>
      <c r="D5" s="11">
        <f>Revenue!D19</f>
        <v>2492.0688183854568</v>
      </c>
      <c r="E5" s="11">
        <f>Revenue!E19</f>
        <v>2776.2842829846809</v>
      </c>
      <c r="F5" s="11">
        <f>Revenue!F19</f>
        <v>3107.7837315101838</v>
      </c>
      <c r="G5" s="11">
        <f>Revenue!G19</f>
        <v>3395.9591935819285</v>
      </c>
      <c r="H5" s="11">
        <f>Revenue!H19</f>
        <v>3710.8563017252</v>
      </c>
    </row>
    <row r="6" spans="1:13" x14ac:dyDescent="0.3">
      <c r="A6" t="s">
        <v>34</v>
      </c>
      <c r="C6" s="4">
        <f>Revenue!C21</f>
        <v>7.9608702864864878E-2</v>
      </c>
      <c r="D6" s="4">
        <f>Revenue!D21</f>
        <v>0.11404800000000027</v>
      </c>
      <c r="E6" s="4">
        <f>Revenue!E21</f>
        <v>0.11404799999999982</v>
      </c>
      <c r="F6" s="4">
        <f>Revenue!F21</f>
        <v>0.11940400000000002</v>
      </c>
      <c r="G6" s="4">
        <f>Revenue!G21</f>
        <v>9.2726999999999976E-2</v>
      </c>
      <c r="H6" s="4">
        <f>Revenue!H21</f>
        <v>9.272699999999999E-2</v>
      </c>
    </row>
    <row r="8" spans="1:13" s="10" customFormat="1" x14ac:dyDescent="0.3">
      <c r="A8" s="10" t="s">
        <v>42</v>
      </c>
      <c r="C8" s="16"/>
      <c r="D8" s="16"/>
      <c r="E8" s="16"/>
      <c r="F8" s="16"/>
      <c r="G8" s="16"/>
    </row>
    <row r="9" spans="1:13" x14ac:dyDescent="0.3">
      <c r="A9" t="s">
        <v>54</v>
      </c>
      <c r="B9" s="13">
        <v>4.41</v>
      </c>
      <c r="C9" s="25">
        <f>Assumption!$B$9</f>
        <v>4.5</v>
      </c>
      <c r="D9" s="25">
        <v>4.55</v>
      </c>
      <c r="E9" s="25">
        <v>4.5999999999999996</v>
      </c>
      <c r="F9" s="25">
        <v>4.7</v>
      </c>
      <c r="G9" s="25">
        <v>4.8499999999999996</v>
      </c>
      <c r="H9" s="25">
        <v>5</v>
      </c>
    </row>
    <row r="10" spans="1:13" x14ac:dyDescent="0.3">
      <c r="A10" t="s">
        <v>55</v>
      </c>
      <c r="B10" s="13">
        <v>1257</v>
      </c>
      <c r="C10" s="25">
        <f>Revenue!C11*'Profit and loss Statement'!C9</f>
        <v>1382.1569999999997</v>
      </c>
      <c r="D10" s="25">
        <f>Revenue!D11*'Profit and loss Statement'!D9</f>
        <v>1497.0173181599998</v>
      </c>
      <c r="E10" s="25">
        <f>Revenue!E11*'Profit and loss Statement'!E9</f>
        <v>1621.2269836439036</v>
      </c>
      <c r="F10" s="25">
        <f>Revenue!F11*'Profit and loss Statement'!F9</f>
        <v>1774.4117871593357</v>
      </c>
      <c r="G10" s="25">
        <f>Revenue!G11*'Profit and loss Statement'!G9</f>
        <v>1942.5524053695945</v>
      </c>
      <c r="H10" s="25">
        <f>Revenue!H11*'Profit and loss Statement'!H9</f>
        <v>2124.5915946975288</v>
      </c>
      <c r="M10" s="12"/>
    </row>
    <row r="11" spans="1:13" x14ac:dyDescent="0.3">
      <c r="A11" t="s">
        <v>56</v>
      </c>
      <c r="B11" s="13">
        <v>48</v>
      </c>
      <c r="C11" s="13">
        <f>48+(48*C6)</f>
        <v>51.821217737513514</v>
      </c>
      <c r="D11" s="13">
        <f t="shared" ref="D11:H11" si="0">48+(48*D6)</f>
        <v>53.474304000000011</v>
      </c>
      <c r="E11" s="13">
        <f t="shared" si="0"/>
        <v>53.474303999999989</v>
      </c>
      <c r="F11" s="13">
        <f t="shared" si="0"/>
        <v>53.731392</v>
      </c>
      <c r="G11" s="13">
        <f t="shared" si="0"/>
        <v>52.450896</v>
      </c>
      <c r="H11" s="13">
        <f t="shared" si="0"/>
        <v>52.450896</v>
      </c>
      <c r="M11" s="12"/>
    </row>
    <row r="12" spans="1:13" s="10" customFormat="1" x14ac:dyDescent="0.3">
      <c r="A12" s="10" t="s">
        <v>43</v>
      </c>
      <c r="B12" s="16">
        <f>B5-B10-B11</f>
        <v>767</v>
      </c>
      <c r="C12" s="16">
        <f t="shared" ref="C12:H12" si="1">C5-C10-C11</f>
        <v>802.97101459848682</v>
      </c>
      <c r="D12" s="16">
        <f t="shared" si="1"/>
        <v>941.57719622545699</v>
      </c>
      <c r="E12" s="16">
        <f t="shared" si="1"/>
        <v>1101.5829953407772</v>
      </c>
      <c r="F12" s="16">
        <f t="shared" si="1"/>
        <v>1279.6405523508481</v>
      </c>
      <c r="G12" s="16">
        <f t="shared" si="1"/>
        <v>1400.955892212334</v>
      </c>
      <c r="H12" s="16">
        <f t="shared" si="1"/>
        <v>1533.8138110276711</v>
      </c>
    </row>
    <row r="13" spans="1:13" x14ac:dyDescent="0.3">
      <c r="A13" t="s">
        <v>44</v>
      </c>
      <c r="B13" s="4">
        <f>B12/B5</f>
        <v>0.37017374517374518</v>
      </c>
      <c r="C13" s="4">
        <f t="shared" ref="C13:H13" si="2">C12/C5</f>
        <v>0.35895808585694217</v>
      </c>
      <c r="D13" s="4">
        <f t="shared" si="2"/>
        <v>0.37782953234633349</v>
      </c>
      <c r="E13" s="4">
        <f t="shared" si="2"/>
        <v>0.39678321204070138</v>
      </c>
      <c r="F13" s="4">
        <f t="shared" si="2"/>
        <v>0.4117534110808363</v>
      </c>
      <c r="G13" s="4">
        <f t="shared" si="2"/>
        <v>0.41253613849660514</v>
      </c>
      <c r="H13" s="4">
        <f t="shared" si="2"/>
        <v>0.41333150257383766</v>
      </c>
    </row>
    <row r="15" spans="1:13" ht="28.8" x14ac:dyDescent="0.3">
      <c r="A15" s="5" t="s">
        <v>45</v>
      </c>
      <c r="B15">
        <v>637</v>
      </c>
      <c r="C15" s="11">
        <f>C5*C16</f>
        <v>659.90002353911996</v>
      </c>
      <c r="D15" s="11">
        <f t="shared" ref="D15:H15" si="3">D5*D16</f>
        <v>735.16030142370971</v>
      </c>
      <c r="E15" s="11">
        <f t="shared" si="3"/>
        <v>819.00386348048085</v>
      </c>
      <c r="F15" s="11">
        <f t="shared" si="3"/>
        <v>885.71836348040233</v>
      </c>
      <c r="G15" s="11">
        <f t="shared" si="3"/>
        <v>916.90898226712079</v>
      </c>
      <c r="H15" s="11">
        <f t="shared" si="3"/>
        <v>1001.9312014658041</v>
      </c>
    </row>
    <row r="16" spans="1:13" x14ac:dyDescent="0.3">
      <c r="A16" s="5" t="s">
        <v>47</v>
      </c>
      <c r="B16" s="4">
        <f>B15/B5</f>
        <v>0.30743243243243246</v>
      </c>
      <c r="C16" s="14">
        <v>0.29499999999999998</v>
      </c>
      <c r="D16" s="14">
        <v>0.29499999999999998</v>
      </c>
      <c r="E16" s="14">
        <v>0.29499999999999998</v>
      </c>
      <c r="F16" s="14">
        <v>0.28499999999999998</v>
      </c>
      <c r="G16" s="15">
        <v>0.27</v>
      </c>
      <c r="H16" s="15">
        <v>0.27</v>
      </c>
    </row>
    <row r="17" spans="1:13" s="10" customFormat="1" x14ac:dyDescent="0.3">
      <c r="A17" s="10" t="s">
        <v>12</v>
      </c>
      <c r="B17" s="16">
        <f>B12-B15</f>
        <v>130</v>
      </c>
      <c r="C17" s="16">
        <f t="shared" ref="C17:H17" si="4">C12-C15</f>
        <v>143.07099105936686</v>
      </c>
      <c r="D17" s="16">
        <f t="shared" si="4"/>
        <v>206.41689480174728</v>
      </c>
      <c r="E17" s="16">
        <f t="shared" si="4"/>
        <v>282.57913186029634</v>
      </c>
      <c r="F17" s="16">
        <f t="shared" si="4"/>
        <v>393.92218887044578</v>
      </c>
      <c r="G17" s="16">
        <f t="shared" si="4"/>
        <v>484.0469099452132</v>
      </c>
      <c r="H17" s="16">
        <f t="shared" si="4"/>
        <v>531.88260956186707</v>
      </c>
    </row>
    <row r="19" spans="1:13" ht="28.8" x14ac:dyDescent="0.3">
      <c r="A19" s="5" t="s">
        <v>46</v>
      </c>
      <c r="B19" s="4">
        <f>B17/B5</f>
        <v>6.2741312741312741E-2</v>
      </c>
      <c r="C19" s="4">
        <f t="shared" ref="C19:H19" si="5">C17/C5</f>
        <v>6.3958085856942209E-2</v>
      </c>
      <c r="D19" s="4">
        <f t="shared" si="5"/>
        <v>8.2829532346333487E-2</v>
      </c>
      <c r="E19" s="4">
        <f t="shared" si="5"/>
        <v>0.10178321204070137</v>
      </c>
      <c r="F19" s="4">
        <f t="shared" si="5"/>
        <v>0.12675341108083632</v>
      </c>
      <c r="G19" s="4">
        <f t="shared" si="5"/>
        <v>0.14253613849660512</v>
      </c>
      <c r="H19" s="4">
        <f t="shared" si="5"/>
        <v>0.14333150257383762</v>
      </c>
      <c r="M19" s="12"/>
    </row>
    <row r="21" spans="1:13" ht="28.8" x14ac:dyDescent="0.3">
      <c r="A21" s="5" t="s">
        <v>48</v>
      </c>
      <c r="B21">
        <v>48</v>
      </c>
      <c r="C21" s="11">
        <f>C5*C22</f>
        <v>51.449832343727998</v>
      </c>
      <c r="D21" s="11">
        <f t="shared" ref="D21:H21" si="6">D5*D22</f>
        <v>57.317582822865504</v>
      </c>
      <c r="E21" s="11">
        <f t="shared" si="6"/>
        <v>63.854538508647657</v>
      </c>
      <c r="F21" s="11">
        <f t="shared" si="6"/>
        <v>71.479025824734222</v>
      </c>
      <c r="G21" s="11">
        <f t="shared" si="6"/>
        <v>78.107061452384357</v>
      </c>
      <c r="H21" s="11">
        <f t="shared" si="6"/>
        <v>85.349694939679594</v>
      </c>
    </row>
    <row r="22" spans="1:13" x14ac:dyDescent="0.3">
      <c r="B22" s="4">
        <f>B21/B5</f>
        <v>2.3166023166023165E-2</v>
      </c>
      <c r="C22" s="14">
        <v>2.3E-2</v>
      </c>
      <c r="D22" s="14">
        <v>2.3E-2</v>
      </c>
      <c r="E22" s="14">
        <v>2.3E-2</v>
      </c>
      <c r="F22" s="14">
        <v>2.3E-2</v>
      </c>
      <c r="G22" s="14">
        <v>2.3E-2</v>
      </c>
      <c r="H22" s="14">
        <v>2.3E-2</v>
      </c>
    </row>
    <row r="23" spans="1:13" s="10" customFormat="1" x14ac:dyDescent="0.3">
      <c r="A23" s="10" t="s">
        <v>49</v>
      </c>
      <c r="B23" s="16">
        <f>B17-B21</f>
        <v>82</v>
      </c>
      <c r="C23" s="16">
        <f t="shared" ref="C23:H23" si="7">C17-C21</f>
        <v>91.62115871563887</v>
      </c>
      <c r="D23" s="16">
        <f t="shared" si="7"/>
        <v>149.09931197888176</v>
      </c>
      <c r="E23" s="16">
        <f t="shared" si="7"/>
        <v>218.72459335164868</v>
      </c>
      <c r="F23" s="16">
        <f t="shared" si="7"/>
        <v>322.44316304571157</v>
      </c>
      <c r="G23" s="16">
        <f t="shared" si="7"/>
        <v>405.93984849282884</v>
      </c>
      <c r="H23" s="16">
        <f t="shared" si="7"/>
        <v>446.53291462218749</v>
      </c>
    </row>
    <row r="24" spans="1:13" ht="28.8" x14ac:dyDescent="0.3">
      <c r="A24" s="5" t="s">
        <v>53</v>
      </c>
      <c r="B24">
        <v>25</v>
      </c>
      <c r="C24">
        <v>25</v>
      </c>
      <c r="D24">
        <v>25</v>
      </c>
      <c r="E24">
        <v>25</v>
      </c>
      <c r="F24">
        <v>25</v>
      </c>
      <c r="G24">
        <v>25</v>
      </c>
      <c r="H24">
        <v>25</v>
      </c>
    </row>
    <row r="25" spans="1:13" x14ac:dyDescent="0.3">
      <c r="A25" t="s">
        <v>50</v>
      </c>
      <c r="B25" s="11">
        <f>B23+B24</f>
        <v>107</v>
      </c>
      <c r="C25" s="11">
        <f t="shared" ref="C25:G25" si="8">C23+C24</f>
        <v>116.62115871563887</v>
      </c>
      <c r="D25" s="11">
        <f t="shared" si="8"/>
        <v>174.09931197888176</v>
      </c>
      <c r="E25" s="11">
        <f t="shared" si="8"/>
        <v>243.72459335164868</v>
      </c>
      <c r="F25" s="11">
        <f t="shared" si="8"/>
        <v>347.44316304571157</v>
      </c>
      <c r="G25" s="11">
        <f>G23+H24</f>
        <v>430.93984849282884</v>
      </c>
      <c r="H25" s="11">
        <f>H23+I24</f>
        <v>446.53291462218749</v>
      </c>
    </row>
    <row r="26" spans="1:13" x14ac:dyDescent="0.3">
      <c r="A26" t="s">
        <v>51</v>
      </c>
      <c r="B26">
        <v>12.3</v>
      </c>
      <c r="C26" s="11">
        <f>C25*C27</f>
        <v>13.411433252298471</v>
      </c>
      <c r="D26" s="11">
        <f t="shared" ref="D26:H26" si="9">D25*D27</f>
        <v>20.021420877571401</v>
      </c>
      <c r="E26" s="11">
        <f t="shared" si="9"/>
        <v>28.028328235439599</v>
      </c>
      <c r="F26" s="11">
        <f t="shared" si="9"/>
        <v>39.955963750256835</v>
      </c>
      <c r="G26" s="11">
        <f t="shared" si="9"/>
        <v>49.558082576675318</v>
      </c>
      <c r="H26" s="11">
        <f t="shared" si="9"/>
        <v>98.237241216881245</v>
      </c>
    </row>
    <row r="27" spans="1:13" x14ac:dyDescent="0.3">
      <c r="B27" s="14">
        <f>B26/B25</f>
        <v>0.11495327102803739</v>
      </c>
      <c r="C27" s="14">
        <v>0.115</v>
      </c>
      <c r="D27" s="14">
        <v>0.115</v>
      </c>
      <c r="E27" s="14">
        <v>0.115</v>
      </c>
      <c r="F27" s="14">
        <v>0.115</v>
      </c>
      <c r="G27" s="14">
        <v>0.115</v>
      </c>
      <c r="H27" s="27">
        <v>0.22</v>
      </c>
    </row>
    <row r="28" spans="1:13" s="7" customFormat="1" x14ac:dyDescent="0.3">
      <c r="A28" s="7" t="s">
        <v>52</v>
      </c>
      <c r="B28" s="45">
        <f>B25-B26</f>
        <v>94.7</v>
      </c>
      <c r="C28" s="45">
        <f t="shared" ref="C28:H28" si="10">C25-C26</f>
        <v>103.2097254633404</v>
      </c>
      <c r="D28" s="45">
        <f t="shared" si="10"/>
        <v>154.07789110131034</v>
      </c>
      <c r="E28" s="45">
        <f t="shared" si="10"/>
        <v>215.69626511620908</v>
      </c>
      <c r="F28" s="45">
        <f t="shared" si="10"/>
        <v>307.48719929545473</v>
      </c>
      <c r="G28" s="45">
        <f t="shared" si="10"/>
        <v>381.38176591615354</v>
      </c>
      <c r="H28" s="45">
        <f t="shared" si="10"/>
        <v>348.29567340530627</v>
      </c>
    </row>
    <row r="29" spans="1:13" x14ac:dyDescent="0.3">
      <c r="H29">
        <f>H28/H5</f>
        <v>9.3858572007593358E-2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EBD3-AB0B-4FB4-AB2E-0E66042E1E36}">
  <sheetPr>
    <tabColor theme="9" tint="0.39997558519241921"/>
  </sheetPr>
  <dimension ref="A2:M36"/>
  <sheetViews>
    <sheetView topLeftCell="A19" workbookViewId="0">
      <selection activeCell="C32" sqref="C32"/>
    </sheetView>
  </sheetViews>
  <sheetFormatPr defaultRowHeight="14.4" x14ac:dyDescent="0.3"/>
  <cols>
    <col min="1" max="1" width="19" customWidth="1"/>
    <col min="2" max="2" width="15.33203125" customWidth="1"/>
    <col min="3" max="3" width="14.6640625" customWidth="1"/>
    <col min="4" max="4" width="17.109375" customWidth="1"/>
    <col min="5" max="5" width="15.21875" customWidth="1"/>
    <col min="6" max="6" width="14.77734375" customWidth="1"/>
    <col min="7" max="7" width="15.88671875" customWidth="1"/>
    <col min="8" max="8" width="10.6640625" customWidth="1"/>
    <col min="9" max="13" width="10.5546875" bestFit="1" customWidth="1"/>
  </cols>
  <sheetData>
    <row r="2" spans="1:8" s="7" customFormat="1" x14ac:dyDescent="0.3">
      <c r="B2" s="7">
        <f>Revenue!B3</f>
        <v>2024</v>
      </c>
      <c r="C2" s="7" t="str">
        <f>Revenue!C3</f>
        <v>2025 E</v>
      </c>
      <c r="D2" s="7" t="str">
        <f>Revenue!D3</f>
        <v>2026 E</v>
      </c>
      <c r="E2" s="7" t="str">
        <f>Revenue!E3</f>
        <v>2027 E</v>
      </c>
      <c r="F2" s="7" t="str">
        <f>Revenue!F3</f>
        <v>2028E</v>
      </c>
      <c r="G2" s="7" t="str">
        <f>Revenue!G3</f>
        <v>2029 E</v>
      </c>
      <c r="H2" s="7" t="s">
        <v>70</v>
      </c>
    </row>
    <row r="3" spans="1:8" x14ac:dyDescent="0.3">
      <c r="A3" t="s">
        <v>57</v>
      </c>
      <c r="B3" s="11">
        <f>'Profit and loss Statement'!B23</f>
        <v>82</v>
      </c>
      <c r="C3" s="11">
        <f>'Profit and loss Statement'!C23</f>
        <v>91.62115871563887</v>
      </c>
      <c r="D3" s="11">
        <f>'Profit and loss Statement'!D23</f>
        <v>149.09931197888176</v>
      </c>
      <c r="E3" s="11">
        <f>'Profit and loss Statement'!E23</f>
        <v>218.72459335164868</v>
      </c>
      <c r="F3" s="11">
        <f>'Profit and loss Statement'!F23</f>
        <v>322.44316304571157</v>
      </c>
      <c r="G3" s="11">
        <f>'Profit and loss Statement'!G23</f>
        <v>405.93984849282884</v>
      </c>
      <c r="H3" s="11">
        <f>'Profit and loss Statement'!H23</f>
        <v>446.53291462218749</v>
      </c>
    </row>
    <row r="5" spans="1:8" x14ac:dyDescent="0.3">
      <c r="A5" t="s">
        <v>58</v>
      </c>
      <c r="B5" s="11">
        <f>B3*(1-'Profit and loss Statement'!B27)</f>
        <v>72.573831775700924</v>
      </c>
      <c r="C5" s="11">
        <f>C3*(1-'Profit and loss Statement'!C27)</f>
        <v>81.084725463340405</v>
      </c>
      <c r="D5" s="11">
        <f>D3*(1-'Profit and loss Statement'!D27)</f>
        <v>131.95289110131037</v>
      </c>
      <c r="E5" s="11">
        <f>E3*(1-'Profit and loss Statement'!E27)</f>
        <v>193.57126511620908</v>
      </c>
      <c r="F5" s="11">
        <f>F3*(1-'Profit and loss Statement'!F27)</f>
        <v>285.36219929545473</v>
      </c>
      <c r="G5" s="11">
        <f>G3*(1-'Profit and loss Statement'!G27)</f>
        <v>359.25676591615354</v>
      </c>
      <c r="H5" s="11">
        <f>H3*(1-'Profit and loss Statement'!H27)</f>
        <v>348.29567340530627</v>
      </c>
    </row>
    <row r="7" spans="1:8" x14ac:dyDescent="0.3">
      <c r="A7" t="s">
        <v>59</v>
      </c>
      <c r="B7" s="11">
        <f>'Profit and loss Statement'!B21</f>
        <v>48</v>
      </c>
      <c r="C7" s="11">
        <f>'Profit and loss Statement'!C21</f>
        <v>51.449832343727998</v>
      </c>
      <c r="D7" s="11">
        <f>'Profit and loss Statement'!D21</f>
        <v>57.317582822865504</v>
      </c>
      <c r="E7" s="11">
        <f>'Profit and loss Statement'!E21</f>
        <v>63.854538508647657</v>
      </c>
      <c r="F7" s="11">
        <f>'Profit and loss Statement'!F21</f>
        <v>71.479025824734222</v>
      </c>
      <c r="G7" s="11">
        <f>'Profit and loss Statement'!G21</f>
        <v>78.107061452384357</v>
      </c>
      <c r="H7" s="11">
        <f>'Profit and loss Statement'!H21</f>
        <v>85.349694939679594</v>
      </c>
    </row>
    <row r="9" spans="1:8" x14ac:dyDescent="0.3">
      <c r="A9" t="s">
        <v>60</v>
      </c>
      <c r="B9">
        <v>23</v>
      </c>
      <c r="C9" s="11">
        <f>B9+(B9*C10)</f>
        <v>23.69</v>
      </c>
      <c r="D9" s="11">
        <f t="shared" ref="D9:H9" si="0">C9+(C9*D10)</f>
        <v>24.400700000000001</v>
      </c>
      <c r="E9" s="11">
        <f t="shared" si="0"/>
        <v>25.132721</v>
      </c>
      <c r="F9" s="11">
        <f t="shared" si="0"/>
        <v>25.886702629999998</v>
      </c>
      <c r="G9" s="11">
        <f t="shared" si="0"/>
        <v>26.663303708899999</v>
      </c>
      <c r="H9" s="11">
        <f t="shared" si="0"/>
        <v>27.463202820166998</v>
      </c>
    </row>
    <row r="10" spans="1:8" x14ac:dyDescent="0.3">
      <c r="C10" s="15">
        <v>0.03</v>
      </c>
      <c r="D10" s="15">
        <v>0.03</v>
      </c>
      <c r="E10" s="15">
        <v>0.03</v>
      </c>
      <c r="F10" s="15">
        <v>0.03</v>
      </c>
      <c r="G10" s="15">
        <v>0.03</v>
      </c>
      <c r="H10" s="15">
        <v>0.03</v>
      </c>
    </row>
    <row r="12" spans="1:8" s="7" customFormat="1" x14ac:dyDescent="0.3">
      <c r="A12" s="7" t="s">
        <v>61</v>
      </c>
      <c r="B12" s="35">
        <f>B5+B7-B9</f>
        <v>97.573831775700924</v>
      </c>
      <c r="C12" s="35">
        <f t="shared" ref="C12:H12" si="1">C5+C7-C9</f>
        <v>108.84455780706841</v>
      </c>
      <c r="D12" s="35">
        <f t="shared" si="1"/>
        <v>164.86977392417586</v>
      </c>
      <c r="E12" s="35">
        <f t="shared" si="1"/>
        <v>232.29308262485671</v>
      </c>
      <c r="F12" s="35">
        <f t="shared" si="1"/>
        <v>330.95452249018894</v>
      </c>
      <c r="G12" s="35">
        <f t="shared" si="1"/>
        <v>410.70052365963789</v>
      </c>
      <c r="H12" s="35">
        <f t="shared" si="1"/>
        <v>406.18216552481886</v>
      </c>
    </row>
    <row r="14" spans="1:8" x14ac:dyDescent="0.3">
      <c r="A14" t="s">
        <v>62</v>
      </c>
      <c r="C14">
        <v>0</v>
      </c>
      <c r="D14">
        <v>0</v>
      </c>
      <c r="E14">
        <v>0</v>
      </c>
      <c r="F14">
        <v>0</v>
      </c>
      <c r="G14" s="11">
        <v>0</v>
      </c>
      <c r="H14" s="11">
        <f>H12*(1+B19)/(B18-B19)</f>
        <v>3926.4276000732489</v>
      </c>
    </row>
    <row r="18" spans="1:13" x14ac:dyDescent="0.3">
      <c r="A18" s="7" t="s">
        <v>13</v>
      </c>
      <c r="B18" s="26">
        <f>Assumption!B20</f>
        <v>0.12</v>
      </c>
    </row>
    <row r="19" spans="1:13" x14ac:dyDescent="0.3">
      <c r="A19" s="7" t="s">
        <v>63</v>
      </c>
      <c r="B19" s="36">
        <f>Assumption!B21</f>
        <v>1.4999999999999999E-2</v>
      </c>
      <c r="C19" t="s">
        <v>21</v>
      </c>
    </row>
    <row r="20" spans="1:13" x14ac:dyDescent="0.3">
      <c r="B20" s="11"/>
    </row>
    <row r="21" spans="1:13" x14ac:dyDescent="0.3">
      <c r="B21" s="38"/>
    </row>
    <row r="22" spans="1:13" x14ac:dyDescent="0.3">
      <c r="J22" t="s">
        <v>13</v>
      </c>
    </row>
    <row r="23" spans="1:13" x14ac:dyDescent="0.3">
      <c r="H23" s="33">
        <f>B36</f>
        <v>2.2098569067707077</v>
      </c>
      <c r="I23" s="31">
        <v>0.1</v>
      </c>
      <c r="J23" s="31">
        <v>0.11</v>
      </c>
      <c r="K23" s="31">
        <v>0.12</v>
      </c>
      <c r="L23" s="31">
        <v>0.13</v>
      </c>
      <c r="M23" s="31">
        <v>0.14000000000000001</v>
      </c>
    </row>
    <row r="24" spans="1:13" ht="28.8" x14ac:dyDescent="0.3">
      <c r="A24" s="43" t="s">
        <v>64</v>
      </c>
      <c r="H24" s="31">
        <v>0.01</v>
      </c>
      <c r="I24" s="29">
        <f t="dataTable" ref="I24:M28" dt2D="1" dtr="1" r1="B18" r2="B19"/>
        <v>2.5944542271176996</v>
      </c>
      <c r="J24" s="29">
        <v>2.3500817136495096</v>
      </c>
      <c r="K24" s="29">
        <v>2.1512350997210135</v>
      </c>
      <c r="L24" s="29">
        <v>1.9864670063634013</v>
      </c>
      <c r="M24" s="29">
        <v>1.8478571912702819</v>
      </c>
    </row>
    <row r="25" spans="1:13" x14ac:dyDescent="0.3">
      <c r="H25" s="31">
        <v>1.4999999999999999E-2</v>
      </c>
      <c r="I25" s="29">
        <v>2.6913057465222838</v>
      </c>
      <c r="J25" s="29">
        <v>2.4246222992034721</v>
      </c>
      <c r="K25" s="37">
        <v>2.2098569067707077</v>
      </c>
      <c r="L25" s="29">
        <v>2.0333980265962834</v>
      </c>
      <c r="M25" s="29">
        <v>1.8859948191823135</v>
      </c>
    </row>
    <row r="26" spans="1:13" x14ac:dyDescent="0.3">
      <c r="A26" t="s">
        <v>65</v>
      </c>
      <c r="B26" s="30">
        <f>NPV(B18,C12:H12)*(1+B18)^0.5</f>
        <v>1103.9260380770584</v>
      </c>
      <c r="H26" s="31">
        <v>0.02</v>
      </c>
      <c r="I26" s="34">
        <v>2.8002637058524424</v>
      </c>
      <c r="J26" s="34">
        <v>2.507445172041209</v>
      </c>
      <c r="K26" s="34">
        <v>2.2743408945253716</v>
      </c>
      <c r="L26" s="34">
        <v>2.0845955032139734</v>
      </c>
      <c r="M26" s="34">
        <v>1.9273105827536809</v>
      </c>
    </row>
    <row r="27" spans="1:13" x14ac:dyDescent="0.3">
      <c r="A27" t="s">
        <v>66</v>
      </c>
      <c r="B27" s="30">
        <f>NPV(B18,C14:H14)</f>
        <v>1989.2504172466863</v>
      </c>
      <c r="H27" s="31">
        <v>2.5000000000000001E-2</v>
      </c>
      <c r="I27" s="29">
        <v>2.9237493930932876</v>
      </c>
      <c r="J27" s="29">
        <v>2.6000119122716203</v>
      </c>
      <c r="K27" s="29">
        <v>2.3456126704647366</v>
      </c>
      <c r="L27" s="29">
        <v>2.1406689299857282</v>
      </c>
      <c r="M27" s="29">
        <v>1.9722190214182107</v>
      </c>
    </row>
    <row r="28" spans="1:13" x14ac:dyDescent="0.3">
      <c r="B28" s="30"/>
      <c r="H28" s="31">
        <v>3.5000000000000003E-2</v>
      </c>
      <c r="I28" s="29">
        <v>3.2277141616861384</v>
      </c>
      <c r="J28" s="29">
        <v>2.8221720888246073</v>
      </c>
      <c r="K28" s="29">
        <v>2.5133109667926559</v>
      </c>
      <c r="L28" s="29">
        <v>2.2705231814571616</v>
      </c>
      <c r="M28" s="29">
        <v>2.0748668812228508</v>
      </c>
    </row>
    <row r="29" spans="1:13" x14ac:dyDescent="0.3">
      <c r="A29" t="s">
        <v>67</v>
      </c>
      <c r="B29" s="30">
        <f>B26+B27</f>
        <v>3093.1764553237444</v>
      </c>
      <c r="H29" s="32"/>
    </row>
    <row r="30" spans="1:13" x14ac:dyDescent="0.3">
      <c r="B30" s="30"/>
    </row>
    <row r="31" spans="1:13" x14ac:dyDescent="0.3">
      <c r="A31" t="s">
        <v>68</v>
      </c>
      <c r="B31" s="30">
        <v>668</v>
      </c>
    </row>
    <row r="32" spans="1:13" x14ac:dyDescent="0.3">
      <c r="A32" t="s">
        <v>71</v>
      </c>
      <c r="B32" s="30">
        <v>0</v>
      </c>
    </row>
    <row r="33" spans="1:2" x14ac:dyDescent="0.3">
      <c r="A33" t="s">
        <v>69</v>
      </c>
      <c r="B33" s="30">
        <f>B29+B31</f>
        <v>3761.1764553237444</v>
      </c>
    </row>
    <row r="34" spans="1:2" x14ac:dyDescent="0.3">
      <c r="B34" s="30"/>
    </row>
    <row r="35" spans="1:2" x14ac:dyDescent="0.3">
      <c r="A35" t="s">
        <v>72</v>
      </c>
      <c r="B35" s="30">
        <v>1702</v>
      </c>
    </row>
    <row r="36" spans="1:2" s="7" customFormat="1" x14ac:dyDescent="0.3">
      <c r="A36" s="7" t="s">
        <v>108</v>
      </c>
      <c r="B36" s="37">
        <f>B33/B35</f>
        <v>2.2098569067707077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0A55-81E8-41A6-99C6-B111E6997ADF}">
  <sheetPr>
    <tabColor theme="9" tint="0.39997558519241921"/>
  </sheetPr>
  <dimension ref="A2:D30"/>
  <sheetViews>
    <sheetView topLeftCell="A9" workbookViewId="0">
      <selection activeCell="D2" sqref="D2"/>
    </sheetView>
  </sheetViews>
  <sheetFormatPr defaultRowHeight="14.4" x14ac:dyDescent="0.3"/>
  <cols>
    <col min="1" max="1" width="23.21875" customWidth="1"/>
    <col min="2" max="2" width="14.6640625" customWidth="1"/>
    <col min="3" max="3" width="15.109375" customWidth="1"/>
    <col min="4" max="4" width="12.6640625" customWidth="1"/>
  </cols>
  <sheetData>
    <row r="2" spans="1:4" s="23" customFormat="1" ht="28.8" x14ac:dyDescent="0.3">
      <c r="A2" s="23" t="s">
        <v>84</v>
      </c>
      <c r="C2" s="39" t="s">
        <v>106</v>
      </c>
      <c r="D2" s="39" t="s">
        <v>107</v>
      </c>
    </row>
    <row r="3" spans="1:4" x14ac:dyDescent="0.3">
      <c r="A3" t="s">
        <v>85</v>
      </c>
      <c r="C3">
        <v>3.2</v>
      </c>
      <c r="D3">
        <v>22</v>
      </c>
    </row>
    <row r="4" spans="1:4" x14ac:dyDescent="0.3">
      <c r="A4" t="s">
        <v>86</v>
      </c>
      <c r="C4">
        <v>2.8</v>
      </c>
      <c r="D4">
        <v>18.5</v>
      </c>
    </row>
    <row r="5" spans="1:4" x14ac:dyDescent="0.3">
      <c r="A5" t="s">
        <v>87</v>
      </c>
      <c r="C5">
        <v>0.9</v>
      </c>
      <c r="D5">
        <v>8.5</v>
      </c>
    </row>
    <row r="6" spans="1:4" x14ac:dyDescent="0.3">
      <c r="A6" t="s">
        <v>90</v>
      </c>
      <c r="C6">
        <v>0.8</v>
      </c>
      <c r="D6">
        <v>10</v>
      </c>
    </row>
    <row r="7" spans="1:4" x14ac:dyDescent="0.3">
      <c r="A7" t="s">
        <v>88</v>
      </c>
      <c r="C7" s="13">
        <f>AVERAGE(C3:C6)</f>
        <v>1.925</v>
      </c>
      <c r="D7">
        <f>AVERAGE(D3:D6)</f>
        <v>14.75</v>
      </c>
    </row>
    <row r="8" spans="1:4" x14ac:dyDescent="0.3">
      <c r="A8" t="s">
        <v>89</v>
      </c>
      <c r="C8">
        <f>MEDIAN(C3:C6)</f>
        <v>1.85</v>
      </c>
      <c r="D8" s="40">
        <f>MEDIAN(D3:D6)</f>
        <v>14.25</v>
      </c>
    </row>
    <row r="10" spans="1:4" x14ac:dyDescent="0.3">
      <c r="A10" s="7" t="s">
        <v>73</v>
      </c>
    </row>
    <row r="12" spans="1:4" x14ac:dyDescent="0.3">
      <c r="A12" s="10" t="s">
        <v>1</v>
      </c>
      <c r="B12" t="s">
        <v>80</v>
      </c>
    </row>
    <row r="14" spans="1:4" x14ac:dyDescent="0.3">
      <c r="A14" t="s">
        <v>74</v>
      </c>
      <c r="B14" s="11">
        <f>Revenue!C19</f>
        <v>2236.949232336</v>
      </c>
    </row>
    <row r="15" spans="1:4" x14ac:dyDescent="0.3">
      <c r="A15" t="s">
        <v>75</v>
      </c>
      <c r="B15">
        <f>C8</f>
        <v>1.85</v>
      </c>
    </row>
    <row r="16" spans="1:4" x14ac:dyDescent="0.3">
      <c r="A16" t="s">
        <v>76</v>
      </c>
      <c r="B16" s="11">
        <f>B14*B15</f>
        <v>4138.3560798216004</v>
      </c>
    </row>
    <row r="17" spans="1:2" x14ac:dyDescent="0.3">
      <c r="A17" t="s">
        <v>77</v>
      </c>
      <c r="B17">
        <v>668</v>
      </c>
    </row>
    <row r="18" spans="1:2" x14ac:dyDescent="0.3">
      <c r="A18" t="s">
        <v>78</v>
      </c>
      <c r="B18" s="11">
        <f>B16+B17</f>
        <v>4806.3560798216004</v>
      </c>
    </row>
    <row r="20" spans="1:2" x14ac:dyDescent="0.3">
      <c r="A20" t="s">
        <v>7</v>
      </c>
      <c r="B20">
        <v>1702</v>
      </c>
    </row>
    <row r="21" spans="1:2" s="23" customFormat="1" x14ac:dyDescent="0.3">
      <c r="A21" s="23" t="s">
        <v>79</v>
      </c>
      <c r="B21" s="41">
        <f>B18/B20</f>
        <v>2.8239459928446538</v>
      </c>
    </row>
    <row r="23" spans="1:2" x14ac:dyDescent="0.3">
      <c r="A23" s="7" t="s">
        <v>81</v>
      </c>
    </row>
    <row r="24" spans="1:2" x14ac:dyDescent="0.3">
      <c r="A24" t="s">
        <v>82</v>
      </c>
      <c r="B24" s="11">
        <f>'Profit and loss Statement'!$C$17</f>
        <v>143.07099105936686</v>
      </c>
    </row>
    <row r="25" spans="1:2" x14ac:dyDescent="0.3">
      <c r="A25" t="s">
        <v>75</v>
      </c>
      <c r="B25" s="13">
        <f>D8</f>
        <v>14.25</v>
      </c>
    </row>
    <row r="26" spans="1:2" x14ac:dyDescent="0.3">
      <c r="A26" t="s">
        <v>76</v>
      </c>
      <c r="B26" s="11">
        <f>B24*B25</f>
        <v>2038.7616225959778</v>
      </c>
    </row>
    <row r="27" spans="1:2" x14ac:dyDescent="0.3">
      <c r="A27" t="s">
        <v>68</v>
      </c>
      <c r="B27">
        <v>668</v>
      </c>
    </row>
    <row r="28" spans="1:2" x14ac:dyDescent="0.3">
      <c r="A28" t="s">
        <v>83</v>
      </c>
      <c r="B28" s="11">
        <f>B27+B26</f>
        <v>2706.7616225959778</v>
      </c>
    </row>
    <row r="29" spans="1:2" x14ac:dyDescent="0.3">
      <c r="A29" t="s">
        <v>7</v>
      </c>
      <c r="B29">
        <v>1702</v>
      </c>
    </row>
    <row r="30" spans="1:2" s="23" customFormat="1" x14ac:dyDescent="0.3">
      <c r="A30" s="23" t="s">
        <v>79</v>
      </c>
      <c r="B30" s="42">
        <f>B28/B29</f>
        <v>1.5903417289048047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Valuation vs Doordash</vt:lpstr>
      <vt:lpstr>Assumption</vt:lpstr>
      <vt:lpstr>Revenue</vt:lpstr>
      <vt:lpstr>Profit and loss Statement</vt:lpstr>
      <vt:lpstr>DCF</vt:lpstr>
      <vt:lpstr>Comparable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Akshay jain</cp:lastModifiedBy>
  <dcterms:created xsi:type="dcterms:W3CDTF">2015-06-05T18:17:20Z</dcterms:created>
  <dcterms:modified xsi:type="dcterms:W3CDTF">2025-11-30T02:13:35Z</dcterms:modified>
</cp:coreProperties>
</file>